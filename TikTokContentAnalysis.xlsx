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hidePivotFieldList="1"/>
  <mc:AlternateContent xmlns:mc="http://schemas.openxmlformats.org/markup-compatibility/2006">
    <mc:Choice Requires="x15">
      <x15ac:absPath xmlns:x15ac="http://schemas.microsoft.com/office/spreadsheetml/2010/11/ac" url="/Volumes/Maxtor/Driano Projects /Tiktok VS YT/"/>
    </mc:Choice>
  </mc:AlternateContent>
  <xr:revisionPtr revIDLastSave="0" documentId="13_ncr:1_{B7DFD27A-97BB-AF41-87D7-9E34807619EE}" xr6:coauthVersionLast="47" xr6:coauthVersionMax="47" xr10:uidLastSave="{00000000-0000-0000-0000-000000000000}"/>
  <bookViews>
    <workbookView xWindow="14020" yWindow="500" windowWidth="16540" windowHeight="17360" tabRatio="500" activeTab="1" xr2:uid="{00000000-000D-0000-FFFF-FFFF00000000}"/>
  </bookViews>
  <sheets>
    <sheet name="Content Data" sheetId="1" r:id="rId1"/>
    <sheet name="Sheet3" sheetId="6" r:id="rId2"/>
    <sheet name="Summary Stats" sheetId="2" r:id="rId3"/>
    <sheet name="Charts" sheetId="3" r:id="rId4"/>
  </sheets>
  <definedNames>
    <definedName name="_xlchart.v5.0" hidden="1">Charts!$Z$64</definedName>
    <definedName name="_xlchart.v5.1" hidden="1">Charts!$Z$65</definedName>
    <definedName name="_xlchart.v5.2" hidden="1">Charts!$Z$64</definedName>
    <definedName name="_xlchart.v5.3" hidden="1">Charts!$Z$65</definedName>
    <definedName name="_xlchart.v5.4" hidden="1">Charts!$Z$64</definedName>
    <definedName name="_xlchart.v5.5" hidden="1">Charts!$Z$65</definedName>
  </definedNames>
  <calcPr calcId="191029"/>
  <pivotCaches>
    <pivotCache cacheId="4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  <c r="H17" i="1"/>
  <c r="G17" i="1"/>
  <c r="F17" i="1"/>
  <c r="E17" i="1"/>
</calcChain>
</file>

<file path=xl/sharedStrings.xml><?xml version="1.0" encoding="utf-8"?>
<sst xmlns="http://schemas.openxmlformats.org/spreadsheetml/2006/main" count="79" uniqueCount="51">
  <si>
    <t>Upload Date</t>
  </si>
  <si>
    <t>Upload Time</t>
  </si>
  <si>
    <t>Post Date</t>
  </si>
  <si>
    <t>Video Title</t>
  </si>
  <si>
    <t>Total Views</t>
  </si>
  <si>
    <t>Total Likes</t>
  </si>
  <si>
    <t>Total Comments</t>
  </si>
  <si>
    <t>Total Shares</t>
  </si>
  <si>
    <t>Engagement Rate (%)</t>
  </si>
  <si>
    <t>Likes per 1K Views</t>
  </si>
  <si>
    <t>21:21:01</t>
  </si>
  <si>
    <t>Hulk Video</t>
  </si>
  <si>
    <t>22:29:19</t>
  </si>
  <si>
    <t>Gianluigi Buffon Video</t>
  </si>
  <si>
    <t>23:51:49</t>
  </si>
  <si>
    <t>Neymar Video</t>
  </si>
  <si>
    <t>00:41:32</t>
  </si>
  <si>
    <t>General Football Tiktok</t>
  </si>
  <si>
    <t>01:34:12</t>
  </si>
  <si>
    <t>General Football Tiktok 2</t>
  </si>
  <si>
    <t>20:37:16</t>
  </si>
  <si>
    <t>Messi</t>
  </si>
  <si>
    <t>20:15:41</t>
  </si>
  <si>
    <t xml:space="preserve">#footballtiktok #slideshow #fyp </t>
  </si>
  <si>
    <t>04:34:12</t>
  </si>
  <si>
    <t>Pep Guardiola Video</t>
  </si>
  <si>
    <t>15:30:38</t>
  </si>
  <si>
    <t>Real Madrid Video</t>
  </si>
  <si>
    <t>16:34:56</t>
  </si>
  <si>
    <t>Pogba Video</t>
  </si>
  <si>
    <t>19:14:02</t>
  </si>
  <si>
    <t>Yamal Video</t>
  </si>
  <si>
    <t>08:34:50</t>
  </si>
  <si>
    <t xml:space="preserve">#fyp #foryou #footballtiktok </t>
  </si>
  <si>
    <t>09:08:21</t>
  </si>
  <si>
    <t>Cristiano Ronaldo Video</t>
  </si>
  <si>
    <t>10:47:42</t>
  </si>
  <si>
    <t>Luis Suarez Video</t>
  </si>
  <si>
    <t>11:55:50</t>
  </si>
  <si>
    <t>Yamal Tiktok</t>
  </si>
  <si>
    <t>TOTALS</t>
  </si>
  <si>
    <t>Metric</t>
  </si>
  <si>
    <t>Min</t>
  </si>
  <si>
    <t>Max</t>
  </si>
  <si>
    <t>Average</t>
  </si>
  <si>
    <t>Total</t>
  </si>
  <si>
    <t>Row Labels</t>
  </si>
  <si>
    <t>Grand Total</t>
  </si>
  <si>
    <t>Sum of Max</t>
  </si>
  <si>
    <t>Sum of Average</t>
  </si>
  <si>
    <t>Sum of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</si>
</sst>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FF3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FF3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[TikTokContentAnalysis.xlsx]Sheet3!Average Likes, Shares and Comments</c:name>
    <c:fmtId val="0"/>
  </c:pivotSource>
  <c:chart>
    <c:autoTitleDeleted val="0"/>
    <c:pivotFmts>
      <c:pivotFmt>
        <c:idx val="0"/>
        <c:spPr>
          <a:gradFill>
            <a:gsLst>
              <a:gs pos="0">
                <a:schemeClr val="accent1">
                  <a:tint val="50000"/>
                </a:schemeClr>
              </a:gs>
              <a:gs pos="35000">
                <a:schemeClr val="accent1">
                  <a:tint val="37000"/>
                </a:schemeClr>
              </a:gs>
              <a:gs pos="100000">
                <a:schemeClr val="accent1">
                  <a:tint val="15000"/>
                </a:schemeClr>
              </a:gs>
            </a:gsLst>
            <a:lin ang="16200000" scaled="1"/>
            <a:tileRect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>
              <a:gsLst>
                <a:gs pos="0">
                  <a:schemeClr val="accent3">
                    <a:tint val="50000"/>
                  </a:schemeClr>
                </a:gs>
                <a:gs pos="35000">
                  <a:schemeClr val="accent3">
                    <a:tint val="37000"/>
                  </a:schemeClr>
                </a:gs>
                <a:gs pos="100000">
                  <a:schemeClr val="accent3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tint val="50000"/>
                </a:schemeClr>
              </a:gs>
              <a:gs pos="35000">
                <a:schemeClr val="accent1">
                  <a:tint val="37000"/>
                </a:schemeClr>
              </a:gs>
              <a:gs pos="100000">
                <a:schemeClr val="accent1">
                  <a:tint val="15000"/>
                </a:schemeClr>
              </a:gs>
            </a:gsLst>
            <a:lin ang="16200000" scaled="1"/>
            <a:tileRect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>
              <a:gsLst>
                <a:gs pos="0">
                  <a:schemeClr val="accent2">
                    <a:tint val="50000"/>
                  </a:schemeClr>
                </a:gs>
                <a:gs pos="35000">
                  <a:schemeClr val="accent2">
                    <a:tint val="37000"/>
                  </a:schemeClr>
                </a:gs>
                <a:gs pos="100000">
                  <a:schemeClr val="accent2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tint val="50000"/>
                </a:schemeClr>
              </a:gs>
              <a:gs pos="35000">
                <a:schemeClr val="accent1">
                  <a:tint val="37000"/>
                </a:schemeClr>
              </a:gs>
              <a:gs pos="100000">
                <a:schemeClr val="accent1">
                  <a:tint val="15000"/>
                </a:schemeClr>
              </a:gs>
            </a:gsLst>
            <a:lin ang="16200000" scaled="1"/>
            <a:tileRect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>
              <a:gsLst>
                <a:gs pos="0">
                  <a:schemeClr val="accent1">
                    <a:tint val="50000"/>
                  </a:schemeClr>
                </a:gs>
                <a:gs pos="35000">
                  <a:schemeClr val="accent1">
                    <a:tint val="37000"/>
                  </a:schemeClr>
                </a:gs>
                <a:gs pos="100000">
                  <a:schemeClr val="accent1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Average</c:v>
                </c:pt>
              </c:strCache>
            </c:strRef>
          </c:tx>
          <c:spPr>
            <a:gradFill>
              <a:gsLst>
                <a:gs pos="0">
                  <a:schemeClr val="accent1">
                    <a:tint val="50000"/>
                  </a:schemeClr>
                </a:gs>
                <a:gs pos="35000">
                  <a:schemeClr val="accent1">
                    <a:tint val="37000"/>
                  </a:schemeClr>
                </a:gs>
                <a:gs pos="100000">
                  <a:schemeClr val="accent1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Sheet3!$A$2:$A$10</c:f>
              <c:multiLvlStrCache>
                <c:ptCount val="4"/>
                <c:lvl>
                  <c:pt idx="0">
                    <c:v>498</c:v>
                  </c:pt>
                  <c:pt idx="1">
                    <c:v>69,143</c:v>
                  </c:pt>
                  <c:pt idx="2">
                    <c:v>1,228</c:v>
                  </c:pt>
                  <c:pt idx="3">
                    <c:v>541,881</c:v>
                  </c:pt>
                </c:lvl>
                <c:lvl>
                  <c:pt idx="0">
                    <c:v>Total Comments</c:v>
                  </c:pt>
                  <c:pt idx="1">
                    <c:v>Total Likes</c:v>
                  </c:pt>
                  <c:pt idx="2">
                    <c:v>Total Shares</c:v>
                  </c:pt>
                  <c:pt idx="3">
                    <c:v>Total Views</c:v>
                  </c:pt>
                </c:lvl>
              </c:multiLvlStrCache>
            </c:multiLvlStrRef>
          </c:cat>
          <c:val>
            <c:numRef>
              <c:f>Sheet3!$B$2:$B$10</c:f>
              <c:numCache>
                <c:formatCode>#,##0</c:formatCode>
                <c:ptCount val="4"/>
                <c:pt idx="0">
                  <c:v>498.4</c:v>
                </c:pt>
                <c:pt idx="1">
                  <c:v>69142.666666666672</c:v>
                </c:pt>
                <c:pt idx="2">
                  <c:v>1228.3333333333333</c:v>
                </c:pt>
                <c:pt idx="3">
                  <c:v>541880.93333333335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D-6146-A123-DDE0AE5BF5C5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Max</c:v>
                </c:pt>
              </c:strCache>
            </c:strRef>
          </c:tx>
          <c:spPr>
            <a:gradFill>
              <a:gsLst>
                <a:gs pos="0">
                  <a:schemeClr val="accent2">
                    <a:tint val="50000"/>
                  </a:schemeClr>
                </a:gs>
                <a:gs pos="35000">
                  <a:schemeClr val="accent2">
                    <a:tint val="37000"/>
                  </a:schemeClr>
                </a:gs>
                <a:gs pos="100000">
                  <a:schemeClr val="accent2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Sheet3!$A$2:$A$10</c:f>
              <c:multiLvlStrCache>
                <c:ptCount val="4"/>
                <c:lvl>
                  <c:pt idx="0">
                    <c:v>498</c:v>
                  </c:pt>
                  <c:pt idx="1">
                    <c:v>69,143</c:v>
                  </c:pt>
                  <c:pt idx="2">
                    <c:v>1,228</c:v>
                  </c:pt>
                  <c:pt idx="3">
                    <c:v>541,881</c:v>
                  </c:pt>
                </c:lvl>
                <c:lvl>
                  <c:pt idx="0">
                    <c:v>Total Comments</c:v>
                  </c:pt>
                  <c:pt idx="1">
                    <c:v>Total Likes</c:v>
                  </c:pt>
                  <c:pt idx="2">
                    <c:v>Total Shares</c:v>
                  </c:pt>
                  <c:pt idx="3">
                    <c:v>Total Views</c:v>
                  </c:pt>
                </c:lvl>
              </c:multiLvlStrCache>
            </c:multiLvlStrRef>
          </c:cat>
          <c:val>
            <c:numRef>
              <c:f>Sheet3!$C$2:$C$10</c:f>
              <c:numCache>
                <c:formatCode>#,##0</c:formatCode>
                <c:ptCount val="4"/>
                <c:pt idx="0">
                  <c:v>2540</c:v>
                </c:pt>
                <c:pt idx="1">
                  <c:v>366031</c:v>
                </c:pt>
                <c:pt idx="2">
                  <c:v>7229</c:v>
                </c:pt>
                <c:pt idx="3">
                  <c:v>1601387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D-6146-A123-DDE0AE5BF5C5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Sum of Min</c:v>
                </c:pt>
              </c:strCache>
            </c:strRef>
          </c:tx>
          <c:spPr>
            <a:gradFill>
              <a:gsLst>
                <a:gs pos="0">
                  <a:schemeClr val="accent3">
                    <a:tint val="50000"/>
                  </a:schemeClr>
                </a:gs>
                <a:gs pos="35000">
                  <a:schemeClr val="accent3">
                    <a:tint val="37000"/>
                  </a:schemeClr>
                </a:gs>
                <a:gs pos="100000">
                  <a:schemeClr val="accent3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Sheet3!$A$2:$A$10</c:f>
              <c:multiLvlStrCache>
                <c:ptCount val="4"/>
                <c:lvl>
                  <c:pt idx="0">
                    <c:v>498</c:v>
                  </c:pt>
                  <c:pt idx="1">
                    <c:v>69,143</c:v>
                  </c:pt>
                  <c:pt idx="2">
                    <c:v>1,228</c:v>
                  </c:pt>
                  <c:pt idx="3">
                    <c:v>541,881</c:v>
                  </c:pt>
                </c:lvl>
                <c:lvl>
                  <c:pt idx="0">
                    <c:v>Total Comments</c:v>
                  </c:pt>
                  <c:pt idx="1">
                    <c:v>Total Likes</c:v>
                  </c:pt>
                  <c:pt idx="2">
                    <c:v>Total Shares</c:v>
                  </c:pt>
                  <c:pt idx="3">
                    <c:v>Total Views</c:v>
                  </c:pt>
                </c:lvl>
              </c:multiLvlStrCache>
            </c:multiLvlStrRef>
          </c:cat>
          <c:val>
            <c:numRef>
              <c:f>Sheet3!$D$2:$D$10</c:f>
              <c:numCache>
                <c:formatCode>#,##0</c:formatCode>
                <c:ptCount val="4"/>
                <c:pt idx="0">
                  <c:v>45</c:v>
                </c:pt>
                <c:pt idx="1">
                  <c:v>7228</c:v>
                </c:pt>
                <c:pt idx="2">
                  <c:v>60</c:v>
                </c:pt>
                <c:pt idx="3">
                  <c:v>193336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D-6146-A123-DDE0AE5BF5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71787087"/>
        <c:axId val="272387119"/>
      </c:barChart>
      <c:catAx>
        <c:axId val="27178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87119"/>
        <c:crosses val="autoZero"/>
        <c:auto val="1"/>
        <c:lblAlgn val="ctr"/>
        <c:lblOffset val="100"/>
        <c:noMultiLvlLbl val="0"/>
      </c:catAx>
      <c:valAx>
        <c:axId val="2723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8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400" b="1" strike="noStrike" spc="-1">
                <a:solidFill>
                  <a:srgbClr val="000000"/>
                </a:solidFill>
                <a:latin typeface="Calibri"/>
              </a:rPr>
              <a:t>Total Views by Video (Ranked)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 Views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Charts!$A$2:$A$16</c:f>
              <c:strCache>
                <c:ptCount val="15"/>
                <c:pt idx="0">
                  <c:v>Hulk Video</c:v>
                </c:pt>
                <c:pt idx="1">
                  <c:v>Gianluigi Buffon Video</c:v>
                </c:pt>
                <c:pt idx="2">
                  <c:v>Neymar Video</c:v>
                </c:pt>
                <c:pt idx="3">
                  <c:v>General Football Tiktok</c:v>
                </c:pt>
                <c:pt idx="4">
                  <c:v>General Football Tiktok 2</c:v>
                </c:pt>
                <c:pt idx="5">
                  <c:v>Messi</c:v>
                </c:pt>
                <c:pt idx="6">
                  <c:v>#footballtiktok #slideshow #fyp </c:v>
                </c:pt>
                <c:pt idx="7">
                  <c:v>Pep Guardiola Video</c:v>
                </c:pt>
                <c:pt idx="8">
                  <c:v>Real Madrid Video</c:v>
                </c:pt>
                <c:pt idx="9">
                  <c:v>Pogba Video</c:v>
                </c:pt>
                <c:pt idx="10">
                  <c:v>Yamal Video</c:v>
                </c:pt>
                <c:pt idx="11">
                  <c:v>#fyp #foryou #footballtiktok </c:v>
                </c:pt>
                <c:pt idx="12">
                  <c:v>Cristiano Ronaldo Video</c:v>
                </c:pt>
                <c:pt idx="13">
                  <c:v>Luis Suarez Video</c:v>
                </c:pt>
                <c:pt idx="14">
                  <c:v>Yamal Tiktok</c:v>
                </c:pt>
              </c:strCache>
            </c:strRef>
          </c:cat>
          <c:val>
            <c:numRef>
              <c:f>Charts!$B$2:$B$16</c:f>
              <c:numCache>
                <c:formatCode>#,##0</c:formatCode>
                <c:ptCount val="15"/>
                <c:pt idx="0">
                  <c:v>1601387</c:v>
                </c:pt>
                <c:pt idx="1">
                  <c:v>1344458</c:v>
                </c:pt>
                <c:pt idx="2">
                  <c:v>1307415</c:v>
                </c:pt>
                <c:pt idx="3">
                  <c:v>541547</c:v>
                </c:pt>
                <c:pt idx="4">
                  <c:v>496896</c:v>
                </c:pt>
                <c:pt idx="5">
                  <c:v>466711</c:v>
                </c:pt>
                <c:pt idx="6">
                  <c:v>331686</c:v>
                </c:pt>
                <c:pt idx="7">
                  <c:v>322825</c:v>
                </c:pt>
                <c:pt idx="8">
                  <c:v>309625</c:v>
                </c:pt>
                <c:pt idx="9">
                  <c:v>270474</c:v>
                </c:pt>
                <c:pt idx="10">
                  <c:v>269758</c:v>
                </c:pt>
                <c:pt idx="11">
                  <c:v>237751</c:v>
                </c:pt>
                <c:pt idx="12">
                  <c:v>228330</c:v>
                </c:pt>
                <c:pt idx="13">
                  <c:v>206015</c:v>
                </c:pt>
                <c:pt idx="14">
                  <c:v>193336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5-4F45-B613-033163BC2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62336"/>
        <c:axId val="21020799"/>
      </c:barChart>
      <c:catAx>
        <c:axId val="2196233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20799"/>
        <c:crosses val="autoZero"/>
        <c:auto val="1"/>
        <c:lblAlgn val="ctr"/>
        <c:lblOffset val="100"/>
        <c:noMultiLvlLbl val="0"/>
      </c:catAx>
      <c:valAx>
        <c:axId val="210207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962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400" b="1" strike="noStrike" spc="-1">
                <a:solidFill>
                  <a:srgbClr val="000000"/>
                </a:solidFill>
                <a:latin typeface="Calibri"/>
              </a:rPr>
              <a:t>Total Likes by Video (Ranked)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Total Likes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Charts!$A$2:$A$16</c:f>
              <c:strCache>
                <c:ptCount val="15"/>
                <c:pt idx="0">
                  <c:v>Hulk Video</c:v>
                </c:pt>
                <c:pt idx="1">
                  <c:v>Gianluigi Buffon Video</c:v>
                </c:pt>
                <c:pt idx="2">
                  <c:v>Neymar Video</c:v>
                </c:pt>
                <c:pt idx="3">
                  <c:v>General Football Tiktok</c:v>
                </c:pt>
                <c:pt idx="4">
                  <c:v>General Football Tiktok 2</c:v>
                </c:pt>
                <c:pt idx="5">
                  <c:v>Messi</c:v>
                </c:pt>
                <c:pt idx="6">
                  <c:v>#footballtiktok #slideshow #fyp </c:v>
                </c:pt>
                <c:pt idx="7">
                  <c:v>Pep Guardiola Video</c:v>
                </c:pt>
                <c:pt idx="8">
                  <c:v>Real Madrid Video</c:v>
                </c:pt>
                <c:pt idx="9">
                  <c:v>Pogba Video</c:v>
                </c:pt>
                <c:pt idx="10">
                  <c:v>Yamal Video</c:v>
                </c:pt>
                <c:pt idx="11">
                  <c:v>#fyp #foryou #footballtiktok </c:v>
                </c:pt>
                <c:pt idx="12">
                  <c:v>Cristiano Ronaldo Video</c:v>
                </c:pt>
                <c:pt idx="13">
                  <c:v>Luis Suarez Video</c:v>
                </c:pt>
                <c:pt idx="14">
                  <c:v>Yamal Tiktok</c:v>
                </c:pt>
              </c:strCache>
            </c:strRef>
          </c:cat>
          <c:val>
            <c:numRef>
              <c:f>Charts!$C$2:$C$16</c:f>
              <c:numCache>
                <c:formatCode>#,##0</c:formatCode>
                <c:ptCount val="15"/>
                <c:pt idx="0">
                  <c:v>177365</c:v>
                </c:pt>
                <c:pt idx="1">
                  <c:v>107634</c:v>
                </c:pt>
                <c:pt idx="2">
                  <c:v>366031</c:v>
                </c:pt>
                <c:pt idx="3">
                  <c:v>49711</c:v>
                </c:pt>
                <c:pt idx="4">
                  <c:v>54042</c:v>
                </c:pt>
                <c:pt idx="5">
                  <c:v>38970</c:v>
                </c:pt>
                <c:pt idx="6">
                  <c:v>39438</c:v>
                </c:pt>
                <c:pt idx="7">
                  <c:v>38315</c:v>
                </c:pt>
                <c:pt idx="8">
                  <c:v>36732</c:v>
                </c:pt>
                <c:pt idx="9">
                  <c:v>43923</c:v>
                </c:pt>
                <c:pt idx="10">
                  <c:v>24601</c:v>
                </c:pt>
                <c:pt idx="11">
                  <c:v>13609</c:v>
                </c:pt>
                <c:pt idx="12">
                  <c:v>7228</c:v>
                </c:pt>
                <c:pt idx="13">
                  <c:v>8401</c:v>
                </c:pt>
                <c:pt idx="14">
                  <c:v>31140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2-314B-8598-4242CCA2C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824527"/>
        <c:axId val="17684718"/>
      </c:barChart>
      <c:catAx>
        <c:axId val="4582452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Likes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684718"/>
        <c:crosses val="autoZero"/>
        <c:auto val="1"/>
        <c:lblAlgn val="ctr"/>
        <c:lblOffset val="100"/>
        <c:noMultiLvlLbl val="0"/>
      </c:catAx>
      <c:valAx>
        <c:axId val="176847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824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Total Likes &amp; Comments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Charts!$A$2:$A$16</c:f>
              <c:strCache>
                <c:ptCount val="15"/>
                <c:pt idx="0">
                  <c:v>Hulk Video</c:v>
                </c:pt>
                <c:pt idx="1">
                  <c:v>Gianluigi Buffon Video</c:v>
                </c:pt>
                <c:pt idx="2">
                  <c:v>Neymar Video</c:v>
                </c:pt>
                <c:pt idx="3">
                  <c:v>General Football Tiktok</c:v>
                </c:pt>
                <c:pt idx="4">
                  <c:v>General Football Tiktok 2</c:v>
                </c:pt>
                <c:pt idx="5">
                  <c:v>Messi</c:v>
                </c:pt>
                <c:pt idx="6">
                  <c:v>#footballtiktok #slideshow #fyp </c:v>
                </c:pt>
                <c:pt idx="7">
                  <c:v>Pep Guardiola Video</c:v>
                </c:pt>
                <c:pt idx="8">
                  <c:v>Real Madrid Video</c:v>
                </c:pt>
                <c:pt idx="9">
                  <c:v>Pogba Video</c:v>
                </c:pt>
                <c:pt idx="10">
                  <c:v>Yamal Video</c:v>
                </c:pt>
                <c:pt idx="11">
                  <c:v>#fyp #foryou #footballtiktok </c:v>
                </c:pt>
                <c:pt idx="12">
                  <c:v>Cristiano Ronaldo Video</c:v>
                </c:pt>
                <c:pt idx="13">
                  <c:v>Luis Suarez Video</c:v>
                </c:pt>
                <c:pt idx="14">
                  <c:v>Yamal Tiktok</c:v>
                </c:pt>
              </c:strCache>
            </c:strRef>
          </c:cat>
          <c:val>
            <c:numRef>
              <c:f>Charts!$B$2:$B$16</c:f>
              <c:numCache>
                <c:formatCode>#,##0</c:formatCode>
                <c:ptCount val="15"/>
                <c:pt idx="0">
                  <c:v>1601387</c:v>
                </c:pt>
                <c:pt idx="1">
                  <c:v>1344458</c:v>
                </c:pt>
                <c:pt idx="2">
                  <c:v>1307415</c:v>
                </c:pt>
                <c:pt idx="3">
                  <c:v>541547</c:v>
                </c:pt>
                <c:pt idx="4">
                  <c:v>496896</c:v>
                </c:pt>
                <c:pt idx="5">
                  <c:v>466711</c:v>
                </c:pt>
                <c:pt idx="6">
                  <c:v>331686</c:v>
                </c:pt>
                <c:pt idx="7">
                  <c:v>322825</c:v>
                </c:pt>
                <c:pt idx="8">
                  <c:v>309625</c:v>
                </c:pt>
                <c:pt idx="9">
                  <c:v>270474</c:v>
                </c:pt>
                <c:pt idx="10">
                  <c:v>269758</c:v>
                </c:pt>
                <c:pt idx="11">
                  <c:v>237751</c:v>
                </c:pt>
                <c:pt idx="12">
                  <c:v>228330</c:v>
                </c:pt>
                <c:pt idx="13">
                  <c:v>206015</c:v>
                </c:pt>
                <c:pt idx="14">
                  <c:v>193336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F-7D4B-98E4-A1BCA5CFE888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Total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Charts!$A$2:$A$16</c:f>
              <c:strCache>
                <c:ptCount val="15"/>
                <c:pt idx="0">
                  <c:v>Hulk Video</c:v>
                </c:pt>
                <c:pt idx="1">
                  <c:v>Gianluigi Buffon Video</c:v>
                </c:pt>
                <c:pt idx="2">
                  <c:v>Neymar Video</c:v>
                </c:pt>
                <c:pt idx="3">
                  <c:v>General Football Tiktok</c:v>
                </c:pt>
                <c:pt idx="4">
                  <c:v>General Football Tiktok 2</c:v>
                </c:pt>
                <c:pt idx="5">
                  <c:v>Messi</c:v>
                </c:pt>
                <c:pt idx="6">
                  <c:v>#footballtiktok #slideshow #fyp </c:v>
                </c:pt>
                <c:pt idx="7">
                  <c:v>Pep Guardiola Video</c:v>
                </c:pt>
                <c:pt idx="8">
                  <c:v>Real Madrid Video</c:v>
                </c:pt>
                <c:pt idx="9">
                  <c:v>Pogba Video</c:v>
                </c:pt>
                <c:pt idx="10">
                  <c:v>Yamal Video</c:v>
                </c:pt>
                <c:pt idx="11">
                  <c:v>#fyp #foryou #footballtiktok </c:v>
                </c:pt>
                <c:pt idx="12">
                  <c:v>Cristiano Ronaldo Video</c:v>
                </c:pt>
                <c:pt idx="13">
                  <c:v>Luis Suarez Video</c:v>
                </c:pt>
                <c:pt idx="14">
                  <c:v>Yamal Tiktok</c:v>
                </c:pt>
              </c:strCache>
            </c:strRef>
          </c:cat>
          <c:val>
            <c:numRef>
              <c:f>Charts!$C$2:$C$16</c:f>
              <c:numCache>
                <c:formatCode>#,##0</c:formatCode>
                <c:ptCount val="15"/>
                <c:pt idx="0">
                  <c:v>177365</c:v>
                </c:pt>
                <c:pt idx="1">
                  <c:v>107634</c:v>
                </c:pt>
                <c:pt idx="2">
                  <c:v>366031</c:v>
                </c:pt>
                <c:pt idx="3">
                  <c:v>49711</c:v>
                </c:pt>
                <c:pt idx="4">
                  <c:v>54042</c:v>
                </c:pt>
                <c:pt idx="5">
                  <c:v>38970</c:v>
                </c:pt>
                <c:pt idx="6">
                  <c:v>39438</c:v>
                </c:pt>
                <c:pt idx="7">
                  <c:v>38315</c:v>
                </c:pt>
                <c:pt idx="8">
                  <c:v>36732</c:v>
                </c:pt>
                <c:pt idx="9">
                  <c:v>43923</c:v>
                </c:pt>
                <c:pt idx="10">
                  <c:v>24601</c:v>
                </c:pt>
                <c:pt idx="11">
                  <c:v>13609</c:v>
                </c:pt>
                <c:pt idx="12">
                  <c:v>7228</c:v>
                </c:pt>
                <c:pt idx="13">
                  <c:v>8401</c:v>
                </c:pt>
                <c:pt idx="14">
                  <c:v>31140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F-7D4B-98E4-A1BCA5CFE888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Total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Charts!$A$2:$A$16</c:f>
              <c:strCache>
                <c:ptCount val="15"/>
                <c:pt idx="0">
                  <c:v>Hulk Video</c:v>
                </c:pt>
                <c:pt idx="1">
                  <c:v>Gianluigi Buffon Video</c:v>
                </c:pt>
                <c:pt idx="2">
                  <c:v>Neymar Video</c:v>
                </c:pt>
                <c:pt idx="3">
                  <c:v>General Football Tiktok</c:v>
                </c:pt>
                <c:pt idx="4">
                  <c:v>General Football Tiktok 2</c:v>
                </c:pt>
                <c:pt idx="5">
                  <c:v>Messi</c:v>
                </c:pt>
                <c:pt idx="6">
                  <c:v>#footballtiktok #slideshow #fyp </c:v>
                </c:pt>
                <c:pt idx="7">
                  <c:v>Pep Guardiola Video</c:v>
                </c:pt>
                <c:pt idx="8">
                  <c:v>Real Madrid Video</c:v>
                </c:pt>
                <c:pt idx="9">
                  <c:v>Pogba Video</c:v>
                </c:pt>
                <c:pt idx="10">
                  <c:v>Yamal Video</c:v>
                </c:pt>
                <c:pt idx="11">
                  <c:v>#fyp #foryou #footballtiktok </c:v>
                </c:pt>
                <c:pt idx="12">
                  <c:v>Cristiano Ronaldo Video</c:v>
                </c:pt>
                <c:pt idx="13">
                  <c:v>Luis Suarez Video</c:v>
                </c:pt>
                <c:pt idx="14">
                  <c:v>Yamal Tiktok</c:v>
                </c:pt>
              </c:strCache>
            </c:strRef>
          </c:cat>
          <c:val>
            <c:numRef>
              <c:f>Charts!$D$2:$D$16</c:f>
              <c:numCache>
                <c:formatCode>#,##0</c:formatCode>
                <c:ptCount val="15"/>
                <c:pt idx="0">
                  <c:v>410</c:v>
                </c:pt>
                <c:pt idx="1">
                  <c:v>384</c:v>
                </c:pt>
                <c:pt idx="2">
                  <c:v>228</c:v>
                </c:pt>
                <c:pt idx="3">
                  <c:v>65</c:v>
                </c:pt>
                <c:pt idx="4">
                  <c:v>2540</c:v>
                </c:pt>
                <c:pt idx="5">
                  <c:v>160</c:v>
                </c:pt>
                <c:pt idx="6">
                  <c:v>300</c:v>
                </c:pt>
                <c:pt idx="7">
                  <c:v>153</c:v>
                </c:pt>
                <c:pt idx="8">
                  <c:v>521</c:v>
                </c:pt>
                <c:pt idx="9">
                  <c:v>205</c:v>
                </c:pt>
                <c:pt idx="10">
                  <c:v>858</c:v>
                </c:pt>
                <c:pt idx="11">
                  <c:v>1138</c:v>
                </c:pt>
                <c:pt idx="12">
                  <c:v>169</c:v>
                </c:pt>
                <c:pt idx="13">
                  <c:v>45</c:v>
                </c:pt>
                <c:pt idx="1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2F-7D4B-98E4-A1BCA5CFE888}"/>
            </c:ext>
          </c:extLst>
        </c:ser>
        <c:ser>
          <c:idx val="3"/>
          <c:order val="3"/>
          <c:tx>
            <c:strRef>
              <c:f>Charts!$E$1</c:f>
              <c:strCache>
                <c:ptCount val="1"/>
                <c:pt idx="0">
                  <c:v>Total Shares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Charts!$A$2:$A$16</c:f>
              <c:strCache>
                <c:ptCount val="15"/>
                <c:pt idx="0">
                  <c:v>Hulk Video</c:v>
                </c:pt>
                <c:pt idx="1">
                  <c:v>Gianluigi Buffon Video</c:v>
                </c:pt>
                <c:pt idx="2">
                  <c:v>Neymar Video</c:v>
                </c:pt>
                <c:pt idx="3">
                  <c:v>General Football Tiktok</c:v>
                </c:pt>
                <c:pt idx="4">
                  <c:v>General Football Tiktok 2</c:v>
                </c:pt>
                <c:pt idx="5">
                  <c:v>Messi</c:v>
                </c:pt>
                <c:pt idx="6">
                  <c:v>#footballtiktok #slideshow #fyp </c:v>
                </c:pt>
                <c:pt idx="7">
                  <c:v>Pep Guardiola Video</c:v>
                </c:pt>
                <c:pt idx="8">
                  <c:v>Real Madrid Video</c:v>
                </c:pt>
                <c:pt idx="9">
                  <c:v>Pogba Video</c:v>
                </c:pt>
                <c:pt idx="10">
                  <c:v>Yamal Video</c:v>
                </c:pt>
                <c:pt idx="11">
                  <c:v>#fyp #foryou #footballtiktok </c:v>
                </c:pt>
                <c:pt idx="12">
                  <c:v>Cristiano Ronaldo Video</c:v>
                </c:pt>
                <c:pt idx="13">
                  <c:v>Luis Suarez Video</c:v>
                </c:pt>
                <c:pt idx="14">
                  <c:v>Yamal Tiktok</c:v>
                </c:pt>
              </c:strCache>
            </c:strRef>
          </c:cat>
          <c:val>
            <c:numRef>
              <c:f>Charts!$E$2:$E$16</c:f>
              <c:numCache>
                <c:formatCode>#,##0</c:formatCode>
                <c:ptCount val="15"/>
                <c:pt idx="0">
                  <c:v>957</c:v>
                </c:pt>
                <c:pt idx="1">
                  <c:v>335</c:v>
                </c:pt>
                <c:pt idx="2">
                  <c:v>6348</c:v>
                </c:pt>
                <c:pt idx="3">
                  <c:v>7229</c:v>
                </c:pt>
                <c:pt idx="4">
                  <c:v>719</c:v>
                </c:pt>
                <c:pt idx="5">
                  <c:v>174</c:v>
                </c:pt>
                <c:pt idx="6">
                  <c:v>229</c:v>
                </c:pt>
                <c:pt idx="7">
                  <c:v>381</c:v>
                </c:pt>
                <c:pt idx="8">
                  <c:v>663</c:v>
                </c:pt>
                <c:pt idx="9">
                  <c:v>190</c:v>
                </c:pt>
                <c:pt idx="10">
                  <c:v>407</c:v>
                </c:pt>
                <c:pt idx="11">
                  <c:v>231</c:v>
                </c:pt>
                <c:pt idx="12">
                  <c:v>60</c:v>
                </c:pt>
                <c:pt idx="13">
                  <c:v>178</c:v>
                </c:pt>
                <c:pt idx="14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2F-7D4B-98E4-A1BCA5CFE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589695"/>
        <c:axId val="106576847"/>
      </c:barChart>
      <c:catAx>
        <c:axId val="10658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6847"/>
        <c:crosses val="autoZero"/>
        <c:auto val="1"/>
        <c:lblAlgn val="ctr"/>
        <c:lblOffset val="100"/>
        <c:noMultiLvlLbl val="0"/>
      </c:catAx>
      <c:valAx>
        <c:axId val="1065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812800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6BC37-6B9D-BA72-8A4C-DA4127605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21</xdr:col>
      <xdr:colOff>17162</xdr:colOff>
      <xdr:row>26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31</xdr:row>
      <xdr:rowOff>0</xdr:rowOff>
    </xdr:from>
    <xdr:to>
      <xdr:col>20</xdr:col>
      <xdr:colOff>635000</xdr:colOff>
      <xdr:row>57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662021</xdr:colOff>
      <xdr:row>10</xdr:row>
      <xdr:rowOff>0</xdr:rowOff>
    </xdr:from>
    <xdr:to>
      <xdr:col>42</xdr:col>
      <xdr:colOff>648509</xdr:colOff>
      <xdr:row>53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36A85F-F8D1-E3AC-9167-85131A7F0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iano Belete" refreshedDate="46129.598960648145" createdVersion="8" refreshedVersion="8" minRefreshableVersion="3" recordCount="4" xr:uid="{AA8031C5-46CD-D145-B116-FA0012483047}">
  <cacheSource type="worksheet">
    <worksheetSource ref="A1:E5" sheet="Summary Stats"/>
  </cacheSource>
  <cacheFields count="5">
    <cacheField name="Metric" numFmtId="0">
      <sharedItems count="4">
        <s v="Total Views"/>
        <s v="Total Likes"/>
        <s v="Total Comments"/>
        <s v="Total Shares"/>
      </sharedItems>
    </cacheField>
    <cacheField name="Min" numFmtId="3">
      <sharedItems containsSemiMixedTypes="0" containsString="0" containsNumber="1" containsInteger="1" minValue="45" maxValue="193336" count="4">
        <n v="193336"/>
        <n v="7228"/>
        <n v="45"/>
        <n v="60"/>
      </sharedItems>
    </cacheField>
    <cacheField name="Max" numFmtId="3">
      <sharedItems containsSemiMixedTypes="0" containsString="0" containsNumber="1" containsInteger="1" minValue="2540" maxValue="1601387" count="4">
        <n v="1601387"/>
        <n v="366031"/>
        <n v="2540"/>
        <n v="7229"/>
      </sharedItems>
    </cacheField>
    <cacheField name="Average" numFmtId="3">
      <sharedItems containsSemiMixedTypes="0" containsString="0" containsNumber="1" minValue="498.4" maxValue="541880.93333333335" count="4">
        <n v="541880.93333333335"/>
        <n v="69142.666666666672"/>
        <n v="498.4"/>
        <n v="1228.3333333333333"/>
      </sharedItems>
    </cacheField>
    <cacheField name="Total" numFmtId="3">
      <sharedItems containsSemiMixedTypes="0" containsString="0" containsNumber="1" containsInteger="1" minValue="7476" maxValue="8128214"/>
    </cacheField>
  </cacheFields>
  <extLst>
    <ext xmlns:x14="http://schemas.microsoft.com/office/spreadsheetml/2009/9/main" uri="{725AE2AE-9491-48be-B2B4-4EB974FC3084}">
      <x14:pivotCacheDefinition pivotCacheId="1708866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n v="8128214"/>
  </r>
  <r>
    <x v="1"/>
    <x v="1"/>
    <x v="1"/>
    <x v="1"/>
    <n v="1037140"/>
  </r>
  <r>
    <x v="2"/>
    <x v="2"/>
    <x v="2"/>
    <x v="2"/>
    <n v="7476"/>
  </r>
  <r>
    <x v="3"/>
    <x v="3"/>
    <x v="3"/>
    <x v="3"/>
    <n v="184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26C59-419E-914D-9E2A-9DD661854E1F}" name="Average Likes, Shares and Comments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10" firstHeaderRow="0" firstDataRow="1" firstDataCol="1"/>
  <pivotFields count="5">
    <pivotField axis="axisRow" showAll="0">
      <items count="5">
        <item x="2"/>
        <item x="1"/>
        <item x="3"/>
        <item x="0"/>
        <item t="default"/>
      </items>
    </pivotField>
    <pivotField dataField="1" numFmtId="3" showAll="0"/>
    <pivotField dataField="1" numFmtId="3" showAll="0"/>
    <pivotField axis="axisRow" dataField="1" numFmtId="3" showAll="0">
      <items count="5">
        <item x="2"/>
        <item x="3"/>
        <item x="1"/>
        <item x="0"/>
        <item t="default"/>
      </items>
    </pivotField>
    <pivotField numFmtId="3" showAll="0"/>
  </pivotFields>
  <rowFields count="2">
    <field x="0"/>
    <field x="3"/>
  </rowFields>
  <rowItems count="9">
    <i>
      <x/>
    </i>
    <i r="1">
      <x/>
    </i>
    <i>
      <x v="1"/>
    </i>
    <i r="1">
      <x v="2"/>
    </i>
    <i>
      <x v="2"/>
    </i>
    <i r="1">
      <x v="1"/>
    </i>
    <i>
      <x v="3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erage" fld="3" baseField="0" baseItem="0" numFmtId="3"/>
    <dataField name="Sum of Max" fld="2" baseField="0" baseItem="0" numFmtId="3"/>
    <dataField name="Sum of Min" fld="1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zoomScaleNormal="100" workbookViewId="0">
      <pane ySplit="1" topLeftCell="A2" activePane="bottomLeft" state="frozen"/>
      <selection pane="bottomLeft" activeCell="E30" sqref="E30"/>
    </sheetView>
  </sheetViews>
  <sheetFormatPr baseColWidth="10" defaultColWidth="8.6640625" defaultRowHeight="15" x14ac:dyDescent="0.2"/>
  <cols>
    <col min="1" max="2" width="14" customWidth="1"/>
    <col min="3" max="3" width="12" customWidth="1"/>
    <col min="4" max="4" width="34" customWidth="1"/>
    <col min="5" max="5" width="15" customWidth="1"/>
    <col min="6" max="6" width="14" customWidth="1"/>
    <col min="7" max="7" width="20.6640625" customWidth="1"/>
    <col min="8" max="8" width="20" customWidth="1"/>
    <col min="9" max="9" width="23.5" customWidth="1"/>
    <col min="10" max="10" width="18" customWidth="1"/>
  </cols>
  <sheetData>
    <row r="1" spans="1:10" ht="21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46119</v>
      </c>
      <c r="B2" s="3" t="s">
        <v>10</v>
      </c>
      <c r="C2" s="2">
        <v>46337</v>
      </c>
      <c r="D2" s="4" t="s">
        <v>11</v>
      </c>
      <c r="E2" s="5">
        <v>1601387</v>
      </c>
      <c r="F2" s="5">
        <v>177365</v>
      </c>
      <c r="G2" s="5">
        <v>410</v>
      </c>
      <c r="H2" s="5">
        <v>957</v>
      </c>
      <c r="I2" s="6">
        <v>0.1116</v>
      </c>
      <c r="J2" s="7">
        <v>110.8</v>
      </c>
    </row>
    <row r="3" spans="1:10" x14ac:dyDescent="0.2">
      <c r="A3" s="8">
        <v>46119</v>
      </c>
      <c r="B3" s="9" t="s">
        <v>12</v>
      </c>
      <c r="C3" s="8">
        <v>46338</v>
      </c>
      <c r="D3" s="10" t="s">
        <v>13</v>
      </c>
      <c r="E3" s="11">
        <v>1344458</v>
      </c>
      <c r="F3" s="11">
        <v>107634</v>
      </c>
      <c r="G3" s="11">
        <v>384</v>
      </c>
      <c r="H3" s="11">
        <v>335</v>
      </c>
      <c r="I3" s="12">
        <v>8.0600000000000005E-2</v>
      </c>
      <c r="J3" s="13">
        <v>80.099999999999994</v>
      </c>
    </row>
    <row r="4" spans="1:10" x14ac:dyDescent="0.2">
      <c r="A4" s="2">
        <v>46119</v>
      </c>
      <c r="B4" s="3" t="s">
        <v>14</v>
      </c>
      <c r="C4" s="2">
        <v>46339</v>
      </c>
      <c r="D4" s="4" t="s">
        <v>15</v>
      </c>
      <c r="E4" s="5">
        <v>1307415</v>
      </c>
      <c r="F4" s="5">
        <v>366031</v>
      </c>
      <c r="G4" s="5">
        <v>228</v>
      </c>
      <c r="H4" s="5">
        <v>6348</v>
      </c>
      <c r="I4" s="6">
        <v>0.28499999999999998</v>
      </c>
      <c r="J4" s="7">
        <v>280</v>
      </c>
    </row>
    <row r="5" spans="1:10" x14ac:dyDescent="0.2">
      <c r="A5" s="8">
        <v>46120</v>
      </c>
      <c r="B5" s="9" t="s">
        <v>16</v>
      </c>
      <c r="C5" s="8">
        <v>46340</v>
      </c>
      <c r="D5" s="10" t="s">
        <v>17</v>
      </c>
      <c r="E5" s="11">
        <v>541547</v>
      </c>
      <c r="F5" s="11">
        <v>49711</v>
      </c>
      <c r="G5" s="11">
        <v>65</v>
      </c>
      <c r="H5" s="11">
        <v>7229</v>
      </c>
      <c r="I5" s="12">
        <v>0.1053</v>
      </c>
      <c r="J5" s="13">
        <v>91.8</v>
      </c>
    </row>
    <row r="6" spans="1:10" x14ac:dyDescent="0.2">
      <c r="A6" s="2">
        <v>46120</v>
      </c>
      <c r="B6" s="3" t="s">
        <v>18</v>
      </c>
      <c r="C6" s="2">
        <v>46341</v>
      </c>
      <c r="D6" s="4" t="s">
        <v>19</v>
      </c>
      <c r="E6" s="5">
        <v>496896</v>
      </c>
      <c r="F6" s="5">
        <v>54042</v>
      </c>
      <c r="G6" s="5">
        <v>2540</v>
      </c>
      <c r="H6" s="5">
        <v>719</v>
      </c>
      <c r="I6" s="6">
        <v>0.1153</v>
      </c>
      <c r="J6" s="7">
        <v>108.8</v>
      </c>
    </row>
    <row r="7" spans="1:10" x14ac:dyDescent="0.2">
      <c r="A7" s="8">
        <v>46120</v>
      </c>
      <c r="B7" s="9" t="s">
        <v>20</v>
      </c>
      <c r="C7" s="8">
        <v>46342</v>
      </c>
      <c r="D7" s="10" t="s">
        <v>21</v>
      </c>
      <c r="E7" s="11">
        <v>466711</v>
      </c>
      <c r="F7" s="11">
        <v>38970</v>
      </c>
      <c r="G7" s="11">
        <v>160</v>
      </c>
      <c r="H7" s="11">
        <v>174</v>
      </c>
      <c r="I7" s="12">
        <v>8.4199999999999997E-2</v>
      </c>
      <c r="J7" s="13">
        <v>83.5</v>
      </c>
    </row>
    <row r="8" spans="1:10" x14ac:dyDescent="0.2">
      <c r="A8" s="2">
        <v>46120</v>
      </c>
      <c r="B8" s="3" t="s">
        <v>22</v>
      </c>
      <c r="C8" s="2">
        <v>46343</v>
      </c>
      <c r="D8" s="4" t="s">
        <v>23</v>
      </c>
      <c r="E8" s="5">
        <v>331686</v>
      </c>
      <c r="F8" s="5">
        <v>39438</v>
      </c>
      <c r="G8" s="5">
        <v>300</v>
      </c>
      <c r="H8" s="5">
        <v>229</v>
      </c>
      <c r="I8" s="6">
        <v>0.1205</v>
      </c>
      <c r="J8" s="7">
        <v>118.9</v>
      </c>
    </row>
    <row r="9" spans="1:10" x14ac:dyDescent="0.2">
      <c r="A9" s="8">
        <v>46120</v>
      </c>
      <c r="B9" s="9" t="s">
        <v>24</v>
      </c>
      <c r="C9" s="8">
        <v>46344</v>
      </c>
      <c r="D9" s="10" t="s">
        <v>25</v>
      </c>
      <c r="E9" s="11">
        <v>322825</v>
      </c>
      <c r="F9" s="11">
        <v>38315</v>
      </c>
      <c r="G9" s="11">
        <v>153</v>
      </c>
      <c r="H9" s="11">
        <v>381</v>
      </c>
      <c r="I9" s="12">
        <v>0.1203</v>
      </c>
      <c r="J9" s="13">
        <v>118.7</v>
      </c>
    </row>
    <row r="10" spans="1:10" x14ac:dyDescent="0.2">
      <c r="A10" s="2">
        <v>46120</v>
      </c>
      <c r="B10" s="3" t="s">
        <v>26</v>
      </c>
      <c r="C10" s="2">
        <v>46345</v>
      </c>
      <c r="D10" s="4" t="s">
        <v>27</v>
      </c>
      <c r="E10" s="5">
        <v>309625</v>
      </c>
      <c r="F10" s="5">
        <v>36732</v>
      </c>
      <c r="G10" s="5">
        <v>521</v>
      </c>
      <c r="H10" s="5">
        <v>663</v>
      </c>
      <c r="I10" s="6">
        <v>0.1225</v>
      </c>
      <c r="J10" s="7">
        <v>118.6</v>
      </c>
    </row>
    <row r="11" spans="1:10" x14ac:dyDescent="0.2">
      <c r="A11" s="8">
        <v>46120</v>
      </c>
      <c r="B11" s="9" t="s">
        <v>28</v>
      </c>
      <c r="C11" s="8">
        <v>46346</v>
      </c>
      <c r="D11" s="10" t="s">
        <v>29</v>
      </c>
      <c r="E11" s="11">
        <v>270474</v>
      </c>
      <c r="F11" s="11">
        <v>43923</v>
      </c>
      <c r="G11" s="11">
        <v>205</v>
      </c>
      <c r="H11" s="11">
        <v>190</v>
      </c>
      <c r="I11" s="12">
        <v>0.16389999999999999</v>
      </c>
      <c r="J11" s="13">
        <v>162.4</v>
      </c>
    </row>
    <row r="12" spans="1:10" x14ac:dyDescent="0.2">
      <c r="A12" s="2">
        <v>46120</v>
      </c>
      <c r="B12" s="3" t="s">
        <v>30</v>
      </c>
      <c r="C12" s="2">
        <v>46347</v>
      </c>
      <c r="D12" s="4" t="s">
        <v>31</v>
      </c>
      <c r="E12" s="5">
        <v>269758</v>
      </c>
      <c r="F12" s="5">
        <v>24601</v>
      </c>
      <c r="G12" s="5">
        <v>858</v>
      </c>
      <c r="H12" s="5">
        <v>407</v>
      </c>
      <c r="I12" s="6">
        <v>9.5899999999999999E-2</v>
      </c>
      <c r="J12" s="7">
        <v>91.2</v>
      </c>
    </row>
    <row r="13" spans="1:10" x14ac:dyDescent="0.2">
      <c r="A13" s="8">
        <v>46120</v>
      </c>
      <c r="B13" s="9" t="s">
        <v>32</v>
      </c>
      <c r="C13" s="8">
        <v>46348</v>
      </c>
      <c r="D13" s="10" t="s">
        <v>33</v>
      </c>
      <c r="E13" s="11">
        <v>237751</v>
      </c>
      <c r="F13" s="11">
        <v>13609</v>
      </c>
      <c r="G13" s="11">
        <v>1138</v>
      </c>
      <c r="H13" s="11">
        <v>231</v>
      </c>
      <c r="I13" s="12">
        <v>6.3E-2</v>
      </c>
      <c r="J13" s="13">
        <v>57.2</v>
      </c>
    </row>
    <row r="14" spans="1:10" x14ac:dyDescent="0.2">
      <c r="A14" s="2">
        <v>46120</v>
      </c>
      <c r="B14" s="3" t="s">
        <v>34</v>
      </c>
      <c r="C14" s="2">
        <v>46349</v>
      </c>
      <c r="D14" s="4" t="s">
        <v>35</v>
      </c>
      <c r="E14" s="5">
        <v>228330</v>
      </c>
      <c r="F14" s="5">
        <v>7228</v>
      </c>
      <c r="G14" s="5">
        <v>169</v>
      </c>
      <c r="H14" s="5">
        <v>60</v>
      </c>
      <c r="I14" s="6">
        <v>3.27E-2</v>
      </c>
      <c r="J14" s="7">
        <v>31.7</v>
      </c>
    </row>
    <row r="15" spans="1:10" x14ac:dyDescent="0.2">
      <c r="A15" s="8">
        <v>46120</v>
      </c>
      <c r="B15" s="9" t="s">
        <v>36</v>
      </c>
      <c r="C15" s="8">
        <v>46350</v>
      </c>
      <c r="D15" s="10" t="s">
        <v>37</v>
      </c>
      <c r="E15" s="11">
        <v>206015</v>
      </c>
      <c r="F15" s="11">
        <v>8401</v>
      </c>
      <c r="G15" s="11">
        <v>45</v>
      </c>
      <c r="H15" s="11">
        <v>178</v>
      </c>
      <c r="I15" s="12">
        <v>4.19E-2</v>
      </c>
      <c r="J15" s="13">
        <v>40.799999999999997</v>
      </c>
    </row>
    <row r="16" spans="1:10" x14ac:dyDescent="0.2">
      <c r="A16" s="2">
        <v>46120</v>
      </c>
      <c r="B16" s="3" t="s">
        <v>38</v>
      </c>
      <c r="C16" s="2">
        <v>46351</v>
      </c>
      <c r="D16" s="4" t="s">
        <v>39</v>
      </c>
      <c r="E16" s="5">
        <v>193336</v>
      </c>
      <c r="F16" s="5">
        <v>31140</v>
      </c>
      <c r="G16" s="5">
        <v>300</v>
      </c>
      <c r="H16" s="5">
        <v>324</v>
      </c>
      <c r="I16" s="6">
        <v>0.1643</v>
      </c>
      <c r="J16" s="7">
        <v>161.1</v>
      </c>
    </row>
    <row r="17" spans="4:8" x14ac:dyDescent="0.2">
      <c r="D17" s="14" t="s">
        <v>40</v>
      </c>
      <c r="E17" s="15">
        <f>SUM(E2:E16)</f>
        <v>8128214</v>
      </c>
      <c r="F17" s="15">
        <f>SUM(F2:F16)</f>
        <v>1037140</v>
      </c>
      <c r="G17" s="15">
        <f>SUM(G2:G16)</f>
        <v>7476</v>
      </c>
      <c r="H17" s="15">
        <f>SUM(H2:H16)</f>
        <v>18425</v>
      </c>
    </row>
  </sheetData>
  <conditionalFormatting sqref="G2:G16">
    <cfRule type="colorScale" priority="6">
      <colorScale>
        <cfvo type="min"/>
        <cfvo type="max"/>
        <color theme="5" tint="0.39997558519241921"/>
        <color theme="6" tint="0.39997558519241921"/>
      </colorScale>
    </cfRule>
    <cfRule type="colorScale" priority="4">
      <colorScale>
        <cfvo type="min"/>
        <cfvo type="num" val="498"/>
        <cfvo type="max"/>
        <color theme="7" tint="0.39997558519241921"/>
        <color theme="7" tint="0.79998168889431442"/>
        <color theme="8" tint="0.59999389629810485"/>
      </colorScale>
    </cfRule>
  </conditionalFormatting>
  <conditionalFormatting sqref="E1:E16">
    <cfRule type="colorScale" priority="2">
      <colorScale>
        <cfvo type="min"/>
        <cfvo type="num" val="500000"/>
        <cfvo type="max"/>
        <color theme="7" tint="0.39997558519241921"/>
        <color theme="8" tint="0.79998168889431442"/>
        <color theme="8" tint="0.39997558519241921"/>
      </colorScale>
    </cfRule>
  </conditionalFormatting>
  <conditionalFormatting sqref="F2:F16">
    <cfRule type="colorScale" priority="1">
      <colorScale>
        <cfvo type="min"/>
        <cfvo type="num" val="69000"/>
        <cfvo type="max"/>
        <color theme="7" tint="0.39997558519241921"/>
        <color theme="8" tint="0.79998168889431442"/>
        <color theme="8" tint="0.39997558519241921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2B69-1228-654D-AB94-095F2EF41FAB}">
  <dimension ref="A1:D10"/>
  <sheetViews>
    <sheetView tabSelected="1" topLeftCell="F2" workbookViewId="0">
      <selection activeCell="Q29" sqref="Q29"/>
    </sheetView>
  </sheetViews>
  <sheetFormatPr baseColWidth="10" defaultRowHeight="15" x14ac:dyDescent="0.2"/>
  <cols>
    <col min="1" max="1" width="15.33203125" bestFit="1" customWidth="1"/>
    <col min="2" max="2" width="13" bestFit="1" customWidth="1"/>
    <col min="3" max="3" width="10" bestFit="1" customWidth="1"/>
    <col min="4" max="5" width="9.83203125" bestFit="1" customWidth="1"/>
  </cols>
  <sheetData>
    <row r="1" spans="1:4" x14ac:dyDescent="0.2">
      <c r="A1" s="18" t="s">
        <v>46</v>
      </c>
      <c r="B1" t="s">
        <v>49</v>
      </c>
      <c r="C1" t="s">
        <v>48</v>
      </c>
      <c r="D1" t="s">
        <v>50</v>
      </c>
    </row>
    <row r="2" spans="1:4" x14ac:dyDescent="0.2">
      <c r="A2" s="20" t="s">
        <v>6</v>
      </c>
      <c r="B2" s="19">
        <v>498.4</v>
      </c>
      <c r="C2" s="19">
        <v>2540</v>
      </c>
      <c r="D2" s="19">
        <v>45</v>
      </c>
    </row>
    <row r="3" spans="1:4" x14ac:dyDescent="0.2">
      <c r="A3" s="21">
        <v>498.4</v>
      </c>
      <c r="B3" s="19">
        <v>498.4</v>
      </c>
      <c r="C3" s="19">
        <v>2540</v>
      </c>
      <c r="D3" s="19">
        <v>45</v>
      </c>
    </row>
    <row r="4" spans="1:4" x14ac:dyDescent="0.2">
      <c r="A4" s="20" t="s">
        <v>5</v>
      </c>
      <c r="B4" s="19">
        <v>69142.666666666672</v>
      </c>
      <c r="C4" s="19">
        <v>366031</v>
      </c>
      <c r="D4" s="19">
        <v>7228</v>
      </c>
    </row>
    <row r="5" spans="1:4" x14ac:dyDescent="0.2">
      <c r="A5" s="21">
        <v>69142.666666666672</v>
      </c>
      <c r="B5" s="19">
        <v>69142.666666666672</v>
      </c>
      <c r="C5" s="19">
        <v>366031</v>
      </c>
      <c r="D5" s="19">
        <v>7228</v>
      </c>
    </row>
    <row r="6" spans="1:4" x14ac:dyDescent="0.2">
      <c r="A6" s="20" t="s">
        <v>7</v>
      </c>
      <c r="B6" s="19">
        <v>1228.3333333333333</v>
      </c>
      <c r="C6" s="19">
        <v>7229</v>
      </c>
      <c r="D6" s="19">
        <v>60</v>
      </c>
    </row>
    <row r="7" spans="1:4" x14ac:dyDescent="0.2">
      <c r="A7" s="21">
        <v>1228.3333333333333</v>
      </c>
      <c r="B7" s="19">
        <v>1228.3333333333333</v>
      </c>
      <c r="C7" s="19">
        <v>7229</v>
      </c>
      <c r="D7" s="19">
        <v>60</v>
      </c>
    </row>
    <row r="8" spans="1:4" x14ac:dyDescent="0.2">
      <c r="A8" s="20" t="s">
        <v>4</v>
      </c>
      <c r="B8" s="19">
        <v>541880.93333333335</v>
      </c>
      <c r="C8" s="19">
        <v>1601387</v>
      </c>
      <c r="D8" s="19">
        <v>193336</v>
      </c>
    </row>
    <row r="9" spans="1:4" x14ac:dyDescent="0.2">
      <c r="A9" s="21">
        <v>541880.93333333335</v>
      </c>
      <c r="B9" s="19">
        <v>541880.93333333335</v>
      </c>
      <c r="C9" s="19">
        <v>1601387</v>
      </c>
      <c r="D9" s="19">
        <v>193336</v>
      </c>
    </row>
    <row r="10" spans="1:4" x14ac:dyDescent="0.2">
      <c r="A10" s="20" t="s">
        <v>47</v>
      </c>
      <c r="B10" s="19">
        <v>612750.33333333337</v>
      </c>
      <c r="C10" s="19">
        <v>1977187</v>
      </c>
      <c r="D10" s="19">
        <v>200669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selection activeCell="E8" sqref="E8"/>
    </sheetView>
  </sheetViews>
  <sheetFormatPr baseColWidth="10" defaultColWidth="8.6640625" defaultRowHeight="15" x14ac:dyDescent="0.2"/>
  <cols>
    <col min="1" max="1" width="20" customWidth="1"/>
    <col min="2" max="5" width="16" customWidth="1"/>
  </cols>
  <sheetData>
    <row r="1" spans="1:5" x14ac:dyDescent="0.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2">
      <c r="A2" s="16" t="s">
        <v>4</v>
      </c>
      <c r="B2" s="5">
        <f>MIN('Content Data'!E2:E16)</f>
        <v>193336</v>
      </c>
      <c r="C2" s="5">
        <f>MAX('Content Data'!E2:E16)</f>
        <v>1601387</v>
      </c>
      <c r="D2" s="5">
        <f>AVERAGE('Content Data'!E2:E16)</f>
        <v>541880.93333333335</v>
      </c>
      <c r="E2" s="5">
        <f>SUM('Content Data'!E2:E16)</f>
        <v>8128214</v>
      </c>
    </row>
    <row r="3" spans="1:5" x14ac:dyDescent="0.2">
      <c r="A3" s="17" t="s">
        <v>5</v>
      </c>
      <c r="B3" s="11">
        <f>MIN('Content Data'!F2:F16)</f>
        <v>7228</v>
      </c>
      <c r="C3" s="11">
        <f>MAX('Content Data'!F2:F16)</f>
        <v>366031</v>
      </c>
      <c r="D3" s="11">
        <f>AVERAGE('Content Data'!F2:F16)</f>
        <v>69142.666666666672</v>
      </c>
      <c r="E3" s="11">
        <f>SUM('Content Data'!F2:F16)</f>
        <v>1037140</v>
      </c>
    </row>
    <row r="4" spans="1:5" x14ac:dyDescent="0.2">
      <c r="A4" s="16" t="s">
        <v>6</v>
      </c>
      <c r="B4" s="5">
        <f>MIN('Content Data'!G2:G16)</f>
        <v>45</v>
      </c>
      <c r="C4" s="5">
        <f>MAX('Content Data'!G2:G16)</f>
        <v>2540</v>
      </c>
      <c r="D4" s="5">
        <f>AVERAGE('Content Data'!G2:G16)</f>
        <v>498.4</v>
      </c>
      <c r="E4" s="5">
        <f>SUM('Content Data'!G2:G16)</f>
        <v>7476</v>
      </c>
    </row>
    <row r="5" spans="1:5" x14ac:dyDescent="0.2">
      <c r="A5" s="17" t="s">
        <v>7</v>
      </c>
      <c r="B5" s="11">
        <f>MIN('Content Data'!H2:H16)</f>
        <v>60</v>
      </c>
      <c r="C5" s="11">
        <f>MAX('Content Data'!H2:H16)</f>
        <v>7229</v>
      </c>
      <c r="D5" s="11">
        <f>AVERAGE('Content Data'!H2:H16)</f>
        <v>1228.3333333333333</v>
      </c>
      <c r="E5" s="11">
        <f>SUM('Content Data'!H2:H16)</f>
        <v>18425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="109" zoomScaleNormal="100" workbookViewId="0">
      <selection activeCell="Z65" sqref="Z65"/>
    </sheetView>
  </sheetViews>
  <sheetFormatPr baseColWidth="10" defaultColWidth="8.6640625" defaultRowHeight="15" x14ac:dyDescent="0.2"/>
  <cols>
    <col min="1" max="1" width="34" customWidth="1"/>
    <col min="2" max="5" width="16" customWidth="1"/>
  </cols>
  <sheetData>
    <row r="1" spans="1:5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">
      <c r="A2" s="4" t="s">
        <v>11</v>
      </c>
      <c r="B2" s="5">
        <v>1601387</v>
      </c>
      <c r="C2" s="5">
        <v>177365</v>
      </c>
      <c r="D2" s="5">
        <v>410</v>
      </c>
      <c r="E2" s="5">
        <v>957</v>
      </c>
    </row>
    <row r="3" spans="1:5" x14ac:dyDescent="0.2">
      <c r="A3" s="10" t="s">
        <v>13</v>
      </c>
      <c r="B3" s="11">
        <v>1344458</v>
      </c>
      <c r="C3" s="11">
        <v>107634</v>
      </c>
      <c r="D3" s="11">
        <v>384</v>
      </c>
      <c r="E3" s="11">
        <v>335</v>
      </c>
    </row>
    <row r="4" spans="1:5" x14ac:dyDescent="0.2">
      <c r="A4" s="4" t="s">
        <v>15</v>
      </c>
      <c r="B4" s="5">
        <v>1307415</v>
      </c>
      <c r="C4" s="5">
        <v>366031</v>
      </c>
      <c r="D4" s="5">
        <v>228</v>
      </c>
      <c r="E4" s="5">
        <v>6348</v>
      </c>
    </row>
    <row r="5" spans="1:5" x14ac:dyDescent="0.2">
      <c r="A5" s="10" t="s">
        <v>17</v>
      </c>
      <c r="B5" s="11">
        <v>541547</v>
      </c>
      <c r="C5" s="11">
        <v>49711</v>
      </c>
      <c r="D5" s="11">
        <v>65</v>
      </c>
      <c r="E5" s="11">
        <v>7229</v>
      </c>
    </row>
    <row r="6" spans="1:5" x14ac:dyDescent="0.2">
      <c r="A6" s="4" t="s">
        <v>19</v>
      </c>
      <c r="B6" s="5">
        <v>496896</v>
      </c>
      <c r="C6" s="5">
        <v>54042</v>
      </c>
      <c r="D6" s="5">
        <v>2540</v>
      </c>
      <c r="E6" s="5">
        <v>719</v>
      </c>
    </row>
    <row r="7" spans="1:5" x14ac:dyDescent="0.2">
      <c r="A7" s="10" t="s">
        <v>21</v>
      </c>
      <c r="B7" s="11">
        <v>466711</v>
      </c>
      <c r="C7" s="11">
        <v>38970</v>
      </c>
      <c r="D7" s="11">
        <v>160</v>
      </c>
      <c r="E7" s="11">
        <v>174</v>
      </c>
    </row>
    <row r="8" spans="1:5" x14ac:dyDescent="0.2">
      <c r="A8" s="4" t="s">
        <v>23</v>
      </c>
      <c r="B8" s="5">
        <v>331686</v>
      </c>
      <c r="C8" s="5">
        <v>39438</v>
      </c>
      <c r="D8" s="5">
        <v>300</v>
      </c>
      <c r="E8" s="5">
        <v>229</v>
      </c>
    </row>
    <row r="9" spans="1:5" x14ac:dyDescent="0.2">
      <c r="A9" s="10" t="s">
        <v>25</v>
      </c>
      <c r="B9" s="11">
        <v>322825</v>
      </c>
      <c r="C9" s="11">
        <v>38315</v>
      </c>
      <c r="D9" s="11">
        <v>153</v>
      </c>
      <c r="E9" s="11">
        <v>381</v>
      </c>
    </row>
    <row r="10" spans="1:5" x14ac:dyDescent="0.2">
      <c r="A10" s="4" t="s">
        <v>27</v>
      </c>
      <c r="B10" s="5">
        <v>309625</v>
      </c>
      <c r="C10" s="5">
        <v>36732</v>
      </c>
      <c r="D10" s="5">
        <v>521</v>
      </c>
      <c r="E10" s="5">
        <v>663</v>
      </c>
    </row>
    <row r="11" spans="1:5" x14ac:dyDescent="0.2">
      <c r="A11" s="10" t="s">
        <v>29</v>
      </c>
      <c r="B11" s="11">
        <v>270474</v>
      </c>
      <c r="C11" s="11">
        <v>43923</v>
      </c>
      <c r="D11" s="11">
        <v>205</v>
      </c>
      <c r="E11" s="11">
        <v>190</v>
      </c>
    </row>
    <row r="12" spans="1:5" x14ac:dyDescent="0.2">
      <c r="A12" s="4" t="s">
        <v>31</v>
      </c>
      <c r="B12" s="5">
        <v>269758</v>
      </c>
      <c r="C12" s="5">
        <v>24601</v>
      </c>
      <c r="D12" s="5">
        <v>858</v>
      </c>
      <c r="E12" s="5">
        <v>407</v>
      </c>
    </row>
    <row r="13" spans="1:5" x14ac:dyDescent="0.2">
      <c r="A13" s="10" t="s">
        <v>33</v>
      </c>
      <c r="B13" s="11">
        <v>237751</v>
      </c>
      <c r="C13" s="11">
        <v>13609</v>
      </c>
      <c r="D13" s="11">
        <v>1138</v>
      </c>
      <c r="E13" s="11">
        <v>231</v>
      </c>
    </row>
    <row r="14" spans="1:5" x14ac:dyDescent="0.2">
      <c r="A14" s="4" t="s">
        <v>35</v>
      </c>
      <c r="B14" s="5">
        <v>228330</v>
      </c>
      <c r="C14" s="5">
        <v>7228</v>
      </c>
      <c r="D14" s="5">
        <v>169</v>
      </c>
      <c r="E14" s="5">
        <v>60</v>
      </c>
    </row>
    <row r="15" spans="1:5" x14ac:dyDescent="0.2">
      <c r="A15" s="10" t="s">
        <v>37</v>
      </c>
      <c r="B15" s="11">
        <v>206015</v>
      </c>
      <c r="C15" s="11">
        <v>8401</v>
      </c>
      <c r="D15" s="11">
        <v>45</v>
      </c>
      <c r="E15" s="11">
        <v>178</v>
      </c>
    </row>
    <row r="16" spans="1:5" x14ac:dyDescent="0.2">
      <c r="A16" s="4" t="s">
        <v>39</v>
      </c>
      <c r="B16" s="5">
        <v>193336</v>
      </c>
      <c r="C16" s="5">
        <v>31140</v>
      </c>
      <c r="D16" s="5">
        <v>300</v>
      </c>
      <c r="E16" s="5">
        <v>324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 Data</vt:lpstr>
      <vt:lpstr>Sheet3</vt:lpstr>
      <vt:lpstr>Summary Stats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George Belete</cp:lastModifiedBy>
  <cp:revision>1</cp:revision>
  <dcterms:created xsi:type="dcterms:W3CDTF">2026-04-17T13:03:18Z</dcterms:created>
  <dcterms:modified xsi:type="dcterms:W3CDTF">2026-04-19T21:12:21Z</dcterms:modified>
  <dc:language>en-US</dc:language>
</cp:coreProperties>
</file>